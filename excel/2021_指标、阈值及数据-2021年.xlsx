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000" activeTab="4"/>
  </bookViews>
  <sheets>
    <sheet name="飞行器制造技术(飞机制造技术方向)" sheetId="1" r:id="rId1"/>
    <sheet name="机电一体化技术" sheetId="2" r:id="rId2"/>
    <sheet name="汽车运用与维修技术" sheetId="3" r:id="rId3"/>
    <sheet name="软件技术" sheetId="4" r:id="rId4"/>
    <sheet name="计算机网络技术(含中高职贯通）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<sst xmlns="http://schemas.openxmlformats.org/spreadsheetml/2006/main" count="110" uniqueCount="22">
  <si>
    <t>序号</t>
  </si>
  <si>
    <t>指标名称</t>
  </si>
  <si>
    <t>权重</t>
  </si>
  <si>
    <t>数值</t>
  </si>
  <si>
    <t>指标得分</t>
  </si>
  <si>
    <t>报到率</t>
  </si>
  <si>
    <t>生师比</t>
  </si>
  <si>
    <t>课程优良率</t>
  </si>
  <si>
    <t>技能证书通过率</t>
  </si>
  <si>
    <t>毕业率</t>
  </si>
  <si>
    <t>就业去向落实率</t>
  </si>
  <si>
    <t>专业相关度</t>
  </si>
  <si>
    <t>在校生满意度</t>
  </si>
  <si>
    <t>毕业生满意度</t>
  </si>
  <si>
    <t>企业订单学生占比</t>
  </si>
  <si>
    <t>双师型专任教师占比</t>
  </si>
  <si>
    <t>高级职称专任教师占比</t>
  </si>
  <si>
    <t>高技术技能人才占比</t>
  </si>
  <si>
    <t>师均论文数、著作数、课题数</t>
  </si>
  <si>
    <t>教师人均企业实践时间（天）</t>
  </si>
  <si>
    <t>总分</t>
  </si>
  <si>
    <t>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</si>
</sst>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</font>
    <font>
      <b/>
      <sz val="12"/>
      <color rgb="FF000000"/>
      <name val="宋体"/>
      <charset val="134"/>
    </font>
    <font>
      <sz val="12"/>
      <color theme="1"/>
      <name val="宋体"/>
      <charset val="134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9" applyNumberFormat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Fill="1" applyAlignment="1">
      <alignment horizontal="right"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vertical="center"/>
    </xf>
    <xf numFmtId="10" fontId="5" fillId="0" borderId="2" xfId="0" applyNumberFormat="1" applyFont="1" applyFill="1" applyBorder="1" applyAlignment="1">
      <alignment horizontal="center" vertical="center"/>
    </xf>
    <xf numFmtId="176" fontId="5" fillId="0" borderId="2" xfId="0" applyNumberFormat="1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9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9" fontId="5" fillId="0" borderId="2" xfId="0" applyNumberFormat="1" applyFont="1" applyFill="1" applyBorder="1" applyAlignment="1">
      <alignment horizontal="center" vertical="center"/>
    </xf>
    <xf numFmtId="9" fontId="0" fillId="0" borderId="3" xfId="0" applyNumberForma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9" fontId="0" fillId="0" borderId="4" xfId="0" applyNumberForma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zoomScale="130" zoomScaleNormal="130" workbookViewId="0">
      <selection activeCell="D1" sqref="D1:E1"/>
    </sheetView>
  </sheetViews>
  <sheetFormatPr defaultColWidth="8.72727272727273" defaultRowHeight="14" outlineLevelCol="4"/>
  <cols>
    <col min="1" max="1" width="8.72727272727273" style="1"/>
    <col min="2" max="2" width="17.2545454545455" style="1" customWidth="1"/>
    <col min="3" max="3" width="8.72727272727273" style="1"/>
    <col min="5" max="5" width="12.8181818181818"/>
  </cols>
  <sheetData>
    <row r="1" ht="15" spans="1: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</row>
    <row r="2" ht="15" spans="1:5">
      <c r="A2" s="5">
        <v>1</v>
      </c>
      <c r="B2" s="6" t="s">
        <v>5</v>
      </c>
      <c r="C2" s="7">
        <v>5</v>
      </c>
      <c r="D2" s="17">
        <v>0.925</v>
      </c>
      <c r="E2" s="18">
        <v>4.625</v>
      </c>
    </row>
    <row r="3" ht="15" spans="1:5">
      <c r="A3" s="5">
        <v>2</v>
      </c>
      <c r="B3" s="6" t="s">
        <v>6</v>
      </c>
      <c r="C3" s="7">
        <v>3</v>
      </c>
      <c r="D3" s="19">
        <v>16.7</v>
      </c>
      <c r="E3" s="20">
        <f>D3/18*$C$4</f>
        <v>2.78333333333333</v>
      </c>
    </row>
    <row r="4" ht="15" spans="1:5">
      <c r="A4" s="5">
        <v>3</v>
      </c>
      <c r="B4" s="6" t="s">
        <v>7</v>
      </c>
      <c r="C4" s="7">
        <v>3</v>
      </c>
      <c r="D4" s="21">
        <v>0.85</v>
      </c>
      <c r="E4" s="22">
        <f>D4/1*$C$6</f>
        <v>2.55</v>
      </c>
    </row>
    <row r="5" ht="15" spans="1:5">
      <c r="A5" s="5">
        <v>4</v>
      </c>
      <c r="B5" s="6" t="s">
        <v>8</v>
      </c>
      <c r="C5" s="7">
        <v>4</v>
      </c>
      <c r="D5" s="17">
        <v>0</v>
      </c>
      <c r="E5" s="18">
        <v>0</v>
      </c>
    </row>
    <row r="6" ht="15" spans="1:5">
      <c r="A6" s="5">
        <v>5</v>
      </c>
      <c r="B6" s="6" t="s">
        <v>9</v>
      </c>
      <c r="C6" s="7">
        <v>3</v>
      </c>
      <c r="D6" s="21">
        <v>0.95</v>
      </c>
      <c r="E6" s="22">
        <v>2.85</v>
      </c>
    </row>
    <row r="7" ht="15" spans="1:5">
      <c r="A7" s="5">
        <v>6</v>
      </c>
      <c r="B7" s="6" t="s">
        <v>10</v>
      </c>
      <c r="C7" s="7">
        <v>5</v>
      </c>
      <c r="D7" s="17">
        <v>0.9615</v>
      </c>
      <c r="E7" s="18">
        <v>4.8075</v>
      </c>
    </row>
    <row r="8" ht="15" spans="1:5">
      <c r="A8" s="5">
        <v>7</v>
      </c>
      <c r="B8" s="6" t="s">
        <v>11</v>
      </c>
      <c r="C8" s="7">
        <v>4</v>
      </c>
      <c r="D8" s="28">
        <v>0.69</v>
      </c>
      <c r="E8" s="29">
        <v>4</v>
      </c>
    </row>
    <row r="9" ht="15" spans="1:5">
      <c r="A9" s="5">
        <v>8</v>
      </c>
      <c r="B9" s="6" t="s">
        <v>12</v>
      </c>
      <c r="C9" s="12">
        <v>4</v>
      </c>
      <c r="D9" s="17">
        <v>0.8574</v>
      </c>
      <c r="E9" s="18">
        <v>3.68853516885352</v>
      </c>
    </row>
    <row r="10" ht="15" spans="1:5">
      <c r="A10" s="5">
        <v>9</v>
      </c>
      <c r="B10" s="6" t="s">
        <v>13</v>
      </c>
      <c r="C10" s="12">
        <v>4</v>
      </c>
      <c r="D10" s="17">
        <v>0.9444</v>
      </c>
      <c r="E10" s="18">
        <v>3.7776</v>
      </c>
    </row>
    <row r="11" ht="30" spans="1:5">
      <c r="A11" s="5">
        <v>10</v>
      </c>
      <c r="B11" s="6" t="s">
        <v>14</v>
      </c>
      <c r="C11" s="12">
        <v>4</v>
      </c>
      <c r="D11" s="17">
        <v>0</v>
      </c>
      <c r="E11" s="18">
        <v>0</v>
      </c>
    </row>
    <row r="12" ht="30" spans="1:5">
      <c r="A12" s="5">
        <v>11</v>
      </c>
      <c r="B12" s="6" t="s">
        <v>15</v>
      </c>
      <c r="C12" s="12">
        <v>4</v>
      </c>
      <c r="D12" s="23">
        <v>0.5</v>
      </c>
      <c r="E12" s="18">
        <v>2</v>
      </c>
    </row>
    <row r="13" ht="30" spans="1:5">
      <c r="A13" s="5">
        <v>12</v>
      </c>
      <c r="B13" s="6" t="s">
        <v>16</v>
      </c>
      <c r="C13" s="12">
        <v>4</v>
      </c>
      <c r="D13" s="23">
        <v>0.25</v>
      </c>
      <c r="E13" s="18">
        <v>1.49992500374981</v>
      </c>
    </row>
    <row r="14" ht="30" spans="1:5">
      <c r="A14" s="5">
        <v>13</v>
      </c>
      <c r="B14" s="6" t="s">
        <v>17</v>
      </c>
      <c r="C14" s="12">
        <v>4</v>
      </c>
      <c r="D14" s="17">
        <v>0</v>
      </c>
      <c r="E14" s="18">
        <v>0</v>
      </c>
    </row>
    <row r="15" ht="30" spans="1:5">
      <c r="A15" s="5">
        <v>14</v>
      </c>
      <c r="B15" s="6" t="s">
        <v>18</v>
      </c>
      <c r="C15" s="12">
        <v>5</v>
      </c>
      <c r="D15" s="25">
        <v>1.25</v>
      </c>
      <c r="E15" s="18">
        <v>5</v>
      </c>
    </row>
    <row r="16" ht="30" spans="1:5">
      <c r="A16" s="5">
        <v>15</v>
      </c>
      <c r="B16" s="6" t="s">
        <v>19</v>
      </c>
      <c r="C16" s="12">
        <v>4</v>
      </c>
      <c r="D16" s="26">
        <v>16.75</v>
      </c>
      <c r="E16" s="27">
        <v>1.30097087378641</v>
      </c>
    </row>
    <row r="17" ht="15" spans="1:5">
      <c r="A17" s="7" t="s">
        <v>20</v>
      </c>
      <c r="B17" s="7"/>
      <c r="C17" s="7">
        <v>60</v>
      </c>
      <c r="D17" s="13" t="s">
        <v>21</v>
      </c>
      <c r="E17" s="9">
        <f>SUM(E2:E16)</f>
        <v>38.8828643797231</v>
      </c>
    </row>
    <row r="19" ht="15" spans="2:3">
      <c r="B19" s="14"/>
      <c r="C19" s="15"/>
    </row>
    <row r="20" ht="15" spans="2:3">
      <c r="B20" s="16"/>
      <c r="C20" s="15"/>
    </row>
  </sheetData>
  <mergeCells count="1">
    <mergeCell ref="A17:B1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zoomScale="120" zoomScaleNormal="120" workbookViewId="0">
      <selection activeCell="D1" sqref="D1:E1"/>
    </sheetView>
  </sheetViews>
  <sheetFormatPr defaultColWidth="8.72727272727273" defaultRowHeight="14" outlineLevelCol="4"/>
  <cols>
    <col min="1" max="1" width="8.72727272727273" style="1"/>
    <col min="2" max="2" width="17.2545454545455" style="1" customWidth="1"/>
    <col min="3" max="3" width="8.72727272727273" style="1"/>
    <col min="5" max="5" width="12.8181818181818"/>
  </cols>
  <sheetData>
    <row r="1" ht="15" spans="1: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</row>
    <row r="2" ht="15" spans="1:5">
      <c r="A2" s="5">
        <v>1</v>
      </c>
      <c r="B2" s="6" t="s">
        <v>5</v>
      </c>
      <c r="C2" s="7">
        <v>5</v>
      </c>
      <c r="D2" s="17">
        <v>0.928571428571429</v>
      </c>
      <c r="E2" s="18">
        <v>4.64285714285715</v>
      </c>
    </row>
    <row r="3" ht="15" spans="1:5">
      <c r="A3" s="5">
        <v>2</v>
      </c>
      <c r="B3" s="6" t="s">
        <v>6</v>
      </c>
      <c r="C3" s="7">
        <v>3</v>
      </c>
      <c r="D3" s="19">
        <v>17.5</v>
      </c>
      <c r="E3" s="20">
        <f>D3/18*$C$4</f>
        <v>2.91666666666667</v>
      </c>
    </row>
    <row r="4" ht="15" spans="1:5">
      <c r="A4" s="5">
        <v>3</v>
      </c>
      <c r="B4" s="6" t="s">
        <v>7</v>
      </c>
      <c r="C4" s="7">
        <v>3</v>
      </c>
      <c r="D4" s="21">
        <v>0.75</v>
      </c>
      <c r="E4" s="22">
        <f>D4/1*$C$6</f>
        <v>2.25</v>
      </c>
    </row>
    <row r="5" ht="15" spans="1:5">
      <c r="A5" s="5">
        <v>4</v>
      </c>
      <c r="B5" s="6" t="s">
        <v>8</v>
      </c>
      <c r="C5" s="7">
        <v>4</v>
      </c>
      <c r="D5" s="17">
        <v>0.25</v>
      </c>
      <c r="E5" s="18">
        <v>1.05887335874629</v>
      </c>
    </row>
    <row r="6" ht="15" spans="1:5">
      <c r="A6" s="5">
        <v>5</v>
      </c>
      <c r="B6" s="6" t="s">
        <v>9</v>
      </c>
      <c r="C6" s="7">
        <v>3</v>
      </c>
      <c r="D6" s="21">
        <v>0.9</v>
      </c>
      <c r="E6" s="22">
        <v>2.7</v>
      </c>
    </row>
    <row r="7" ht="15" spans="1:5">
      <c r="A7" s="5">
        <v>6</v>
      </c>
      <c r="B7" s="6" t="s">
        <v>10</v>
      </c>
      <c r="C7" s="7">
        <v>5</v>
      </c>
      <c r="D7" s="17">
        <v>0.9722</v>
      </c>
      <c r="E7" s="18">
        <v>4.861</v>
      </c>
    </row>
    <row r="8" ht="15" spans="1:5">
      <c r="A8" s="5">
        <v>7</v>
      </c>
      <c r="B8" s="6" t="s">
        <v>11</v>
      </c>
      <c r="C8" s="7">
        <v>4</v>
      </c>
      <c r="D8" s="24">
        <v>0.64</v>
      </c>
      <c r="E8" s="20">
        <f>D8/0.7*$C$14</f>
        <v>3.65714285714286</v>
      </c>
    </row>
    <row r="9" ht="15" spans="1:5">
      <c r="A9" s="5">
        <v>8</v>
      </c>
      <c r="B9" s="6" t="s">
        <v>12</v>
      </c>
      <c r="C9" s="12">
        <v>4</v>
      </c>
      <c r="D9" s="17">
        <v>0.8945</v>
      </c>
      <c r="E9" s="18">
        <v>3.84813938481394</v>
      </c>
    </row>
    <row r="10" ht="15" spans="1:5">
      <c r="A10" s="5">
        <v>9</v>
      </c>
      <c r="B10" s="6" t="s">
        <v>13</v>
      </c>
      <c r="C10" s="12">
        <v>4</v>
      </c>
      <c r="D10" s="23">
        <v>1</v>
      </c>
      <c r="E10" s="18">
        <v>4</v>
      </c>
    </row>
    <row r="11" ht="30" spans="1:5">
      <c r="A11" s="5">
        <v>10</v>
      </c>
      <c r="B11" s="6" t="s">
        <v>14</v>
      </c>
      <c r="C11" s="12">
        <v>4</v>
      </c>
      <c r="D11" s="17">
        <v>0</v>
      </c>
      <c r="E11" s="18">
        <v>0</v>
      </c>
    </row>
    <row r="12" ht="30" spans="1:5">
      <c r="A12" s="5">
        <v>11</v>
      </c>
      <c r="B12" s="6" t="s">
        <v>15</v>
      </c>
      <c r="C12" s="12">
        <v>4</v>
      </c>
      <c r="D12" s="23">
        <v>0.5</v>
      </c>
      <c r="E12" s="18">
        <v>2</v>
      </c>
    </row>
    <row r="13" ht="30" spans="1:5">
      <c r="A13" s="5">
        <v>12</v>
      </c>
      <c r="B13" s="6" t="s">
        <v>16</v>
      </c>
      <c r="C13" s="12">
        <v>4</v>
      </c>
      <c r="D13" s="25">
        <v>0</v>
      </c>
      <c r="E13" s="18">
        <v>0</v>
      </c>
    </row>
    <row r="14" ht="30" spans="1:5">
      <c r="A14" s="5">
        <v>13</v>
      </c>
      <c r="B14" s="6" t="s">
        <v>17</v>
      </c>
      <c r="C14" s="12">
        <v>4</v>
      </c>
      <c r="D14" s="17">
        <v>0</v>
      </c>
      <c r="E14" s="18">
        <v>0</v>
      </c>
    </row>
    <row r="15" ht="30" spans="1:5">
      <c r="A15" s="5">
        <v>14</v>
      </c>
      <c r="B15" s="6" t="s">
        <v>18</v>
      </c>
      <c r="C15" s="12">
        <v>5</v>
      </c>
      <c r="D15" s="25">
        <v>0.75</v>
      </c>
      <c r="E15" s="18">
        <v>3</v>
      </c>
    </row>
    <row r="16" ht="30" spans="1:5">
      <c r="A16" s="5">
        <v>15</v>
      </c>
      <c r="B16" s="6" t="s">
        <v>19</v>
      </c>
      <c r="C16" s="12">
        <v>4</v>
      </c>
      <c r="D16" s="26">
        <v>16.75</v>
      </c>
      <c r="E16" s="27">
        <v>1.30097087378641</v>
      </c>
    </row>
    <row r="17" ht="15" spans="1:5">
      <c r="A17" s="7" t="s">
        <v>20</v>
      </c>
      <c r="B17" s="7"/>
      <c r="C17" s="7">
        <v>60</v>
      </c>
      <c r="D17" s="13" t="s">
        <v>21</v>
      </c>
      <c r="E17" s="9">
        <f>SUM(E2:E16)</f>
        <v>36.2356502840133</v>
      </c>
    </row>
    <row r="19" ht="15" spans="2:3">
      <c r="B19" s="14"/>
      <c r="C19" s="15"/>
    </row>
    <row r="20" ht="15" spans="2:3">
      <c r="B20" s="16"/>
      <c r="C20" s="15"/>
    </row>
  </sheetData>
  <mergeCells count="1">
    <mergeCell ref="A17:B1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zoomScale="120" zoomScaleNormal="120" workbookViewId="0">
      <selection activeCell="D1" sqref="D1:E1"/>
    </sheetView>
  </sheetViews>
  <sheetFormatPr defaultColWidth="8.72727272727273" defaultRowHeight="14" outlineLevelCol="4"/>
  <cols>
    <col min="1" max="1" width="8.72727272727273" style="1"/>
    <col min="2" max="2" width="17.2545454545455" style="1" customWidth="1"/>
    <col min="3" max="3" width="8.72727272727273" style="1"/>
    <col min="5" max="5" width="12.8181818181818"/>
  </cols>
  <sheetData>
    <row r="1" ht="15" spans="1: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</row>
    <row r="2" ht="15" spans="1:5">
      <c r="A2" s="5">
        <v>1</v>
      </c>
      <c r="B2" s="6" t="s">
        <v>5</v>
      </c>
      <c r="C2" s="7">
        <v>5</v>
      </c>
      <c r="D2" s="17">
        <v>0.571428571428571</v>
      </c>
      <c r="E2" s="18">
        <v>2.85714285714286</v>
      </c>
    </row>
    <row r="3" ht="15" spans="1:5">
      <c r="A3" s="5">
        <v>2</v>
      </c>
      <c r="B3" s="6" t="s">
        <v>6</v>
      </c>
      <c r="C3" s="7">
        <v>3</v>
      </c>
      <c r="D3" s="19">
        <v>16.6</v>
      </c>
      <c r="E3" s="20">
        <f>D3/18*$C$4</f>
        <v>2.76666666666667</v>
      </c>
    </row>
    <row r="4" ht="15" spans="1:5">
      <c r="A4" s="5">
        <v>3</v>
      </c>
      <c r="B4" s="6" t="s">
        <v>7</v>
      </c>
      <c r="C4" s="7">
        <v>3</v>
      </c>
      <c r="D4" s="21">
        <v>0.69</v>
      </c>
      <c r="E4" s="22">
        <f>D4/1*$C$6</f>
        <v>2.07</v>
      </c>
    </row>
    <row r="5" ht="15" spans="1:5">
      <c r="A5" s="5">
        <v>4</v>
      </c>
      <c r="B5" s="6" t="s">
        <v>8</v>
      </c>
      <c r="C5" s="7">
        <v>4</v>
      </c>
      <c r="D5" s="17">
        <v>0.8846</v>
      </c>
      <c r="E5" s="18">
        <v>3.74671749258789</v>
      </c>
    </row>
    <row r="6" ht="15" spans="1:5">
      <c r="A6" s="5">
        <v>5</v>
      </c>
      <c r="B6" s="6" t="s">
        <v>9</v>
      </c>
      <c r="C6" s="7">
        <v>3</v>
      </c>
      <c r="D6" s="21">
        <v>0.92</v>
      </c>
      <c r="E6" s="22">
        <v>2.76</v>
      </c>
    </row>
    <row r="7" ht="15" spans="1:5">
      <c r="A7" s="5">
        <v>6</v>
      </c>
      <c r="B7" s="6" t="s">
        <v>10</v>
      </c>
      <c r="C7" s="7">
        <v>5</v>
      </c>
      <c r="D7" s="23">
        <v>0.9</v>
      </c>
      <c r="E7" s="18">
        <v>4.5</v>
      </c>
    </row>
    <row r="8" ht="15" spans="1:5">
      <c r="A8" s="5">
        <v>7</v>
      </c>
      <c r="B8" s="6" t="s">
        <v>11</v>
      </c>
      <c r="C8" s="7">
        <v>4</v>
      </c>
      <c r="D8" s="24">
        <v>0.68</v>
      </c>
      <c r="E8" s="20">
        <f>D8/0.7*$C$14</f>
        <v>3.88571428571429</v>
      </c>
    </row>
    <row r="9" ht="15" spans="1:5">
      <c r="A9" s="5">
        <v>8</v>
      </c>
      <c r="B9" s="6" t="s">
        <v>12</v>
      </c>
      <c r="C9" s="12">
        <v>4</v>
      </c>
      <c r="D9" s="17">
        <v>0.9023</v>
      </c>
      <c r="E9" s="18">
        <v>3.8816949881695</v>
      </c>
    </row>
    <row r="10" ht="15" spans="1:5">
      <c r="A10" s="5">
        <v>9</v>
      </c>
      <c r="B10" s="6" t="s">
        <v>13</v>
      </c>
      <c r="C10" s="12">
        <v>4</v>
      </c>
      <c r="D10" s="23">
        <v>1</v>
      </c>
      <c r="E10" s="18">
        <v>4</v>
      </c>
    </row>
    <row r="11" ht="30" spans="1:5">
      <c r="A11" s="5">
        <v>10</v>
      </c>
      <c r="B11" s="6" t="s">
        <v>14</v>
      </c>
      <c r="C11" s="12">
        <v>4</v>
      </c>
      <c r="D11" s="17">
        <v>0.12</v>
      </c>
      <c r="E11" s="18">
        <v>1.11627906976744</v>
      </c>
    </row>
    <row r="12" ht="30" spans="1:5">
      <c r="A12" s="5">
        <v>11</v>
      </c>
      <c r="B12" s="6" t="s">
        <v>15</v>
      </c>
      <c r="C12" s="12">
        <v>4</v>
      </c>
      <c r="D12" s="23">
        <v>0.75</v>
      </c>
      <c r="E12" s="18">
        <v>3</v>
      </c>
    </row>
    <row r="13" ht="30" spans="1:5">
      <c r="A13" s="5">
        <v>12</v>
      </c>
      <c r="B13" s="6" t="s">
        <v>16</v>
      </c>
      <c r="C13" s="12">
        <v>4</v>
      </c>
      <c r="D13" s="23">
        <v>0.25</v>
      </c>
      <c r="E13" s="18">
        <v>1.49992500374981</v>
      </c>
    </row>
    <row r="14" ht="30" spans="1:5">
      <c r="A14" s="5">
        <v>13</v>
      </c>
      <c r="B14" s="6" t="s">
        <v>17</v>
      </c>
      <c r="C14" s="12">
        <v>4</v>
      </c>
      <c r="D14" s="17">
        <v>0.5</v>
      </c>
      <c r="E14" s="18">
        <v>4</v>
      </c>
    </row>
    <row r="15" ht="30" spans="1:5">
      <c r="A15" s="5">
        <v>14</v>
      </c>
      <c r="B15" s="6" t="s">
        <v>18</v>
      </c>
      <c r="C15" s="12">
        <v>5</v>
      </c>
      <c r="D15" s="25">
        <v>0</v>
      </c>
      <c r="E15" s="18">
        <v>0</v>
      </c>
    </row>
    <row r="16" ht="30" spans="1:5">
      <c r="A16" s="5">
        <v>15</v>
      </c>
      <c r="B16" s="6" t="s">
        <v>19</v>
      </c>
      <c r="C16" s="12">
        <v>4</v>
      </c>
      <c r="D16" s="26">
        <v>0</v>
      </c>
      <c r="E16" s="27">
        <v>0</v>
      </c>
    </row>
    <row r="17" ht="15" spans="1:5">
      <c r="A17" s="7" t="s">
        <v>20</v>
      </c>
      <c r="B17" s="7"/>
      <c r="C17" s="7">
        <v>60</v>
      </c>
      <c r="D17" s="13" t="s">
        <v>21</v>
      </c>
      <c r="E17" s="9">
        <f>SUM(E2:E16)</f>
        <v>40.0841403637985</v>
      </c>
    </row>
    <row r="19" ht="15" spans="2:3">
      <c r="B19" s="14"/>
      <c r="C19" s="15"/>
    </row>
    <row r="20" ht="15" spans="2:3">
      <c r="B20" s="16"/>
      <c r="C20" s="15"/>
    </row>
  </sheetData>
  <mergeCells count="1">
    <mergeCell ref="A17:B17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zoomScale="130" zoomScaleNormal="130" workbookViewId="0">
      <selection activeCell="D1" sqref="D1:E1"/>
    </sheetView>
  </sheetViews>
  <sheetFormatPr defaultColWidth="8.72727272727273" defaultRowHeight="14" outlineLevelCol="4"/>
  <cols>
    <col min="1" max="1" width="8.72727272727273" style="1"/>
    <col min="2" max="2" width="17.2545454545455" style="1" customWidth="1"/>
    <col min="3" max="3" width="8.72727272727273" style="1"/>
    <col min="5" max="5" width="11.7272727272727"/>
  </cols>
  <sheetData>
    <row r="1" ht="15" spans="1: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</row>
    <row r="2" ht="15" spans="1:5">
      <c r="A2" s="5">
        <v>1</v>
      </c>
      <c r="B2" s="6" t="s">
        <v>5</v>
      </c>
      <c r="C2" s="7">
        <v>5</v>
      </c>
      <c r="D2" s="8">
        <v>1.02631578947368</v>
      </c>
      <c r="E2" s="9">
        <v>5</v>
      </c>
    </row>
    <row r="3" ht="15" spans="1:5">
      <c r="A3" s="5">
        <v>2</v>
      </c>
      <c r="B3" s="6" t="s">
        <v>6</v>
      </c>
      <c r="C3" s="7">
        <v>3</v>
      </c>
      <c r="D3" s="10">
        <v>16.8</v>
      </c>
      <c r="E3" s="9">
        <v>2.8</v>
      </c>
    </row>
    <row r="4" ht="15" spans="1:5">
      <c r="A4" s="5">
        <v>3</v>
      </c>
      <c r="B4" s="6" t="s">
        <v>7</v>
      </c>
      <c r="C4" s="7">
        <v>3</v>
      </c>
      <c r="D4" s="11">
        <v>0.8</v>
      </c>
      <c r="E4" s="10">
        <v>2.4</v>
      </c>
    </row>
    <row r="5" ht="15" spans="1:5">
      <c r="A5" s="5">
        <v>4</v>
      </c>
      <c r="B5" s="6" t="s">
        <v>8</v>
      </c>
      <c r="C5" s="7">
        <v>4</v>
      </c>
      <c r="D5" s="8">
        <v>0</v>
      </c>
      <c r="E5" s="9">
        <v>0</v>
      </c>
    </row>
    <row r="6" ht="15" spans="1:5">
      <c r="A6" s="5">
        <v>5</v>
      </c>
      <c r="B6" s="6" t="s">
        <v>9</v>
      </c>
      <c r="C6" s="7">
        <v>3</v>
      </c>
      <c r="D6" s="11">
        <v>0.94</v>
      </c>
      <c r="E6" s="10">
        <v>2.82</v>
      </c>
    </row>
    <row r="7" ht="15" spans="1:5">
      <c r="A7" s="5">
        <v>6</v>
      </c>
      <c r="B7" s="6" t="s">
        <v>10</v>
      </c>
      <c r="C7" s="7">
        <v>5</v>
      </c>
      <c r="D7" s="8">
        <v>0.9167</v>
      </c>
      <c r="E7" s="9">
        <v>4.5835</v>
      </c>
    </row>
    <row r="8" ht="15" spans="1:5">
      <c r="A8" s="5">
        <v>7</v>
      </c>
      <c r="B8" s="6" t="s">
        <v>11</v>
      </c>
      <c r="C8" s="7">
        <v>4</v>
      </c>
      <c r="D8" s="11">
        <v>0.7</v>
      </c>
      <c r="E8" s="9">
        <v>4</v>
      </c>
    </row>
    <row r="9" ht="15" spans="1:5">
      <c r="A9" s="5">
        <v>8</v>
      </c>
      <c r="B9" s="6" t="s">
        <v>12</v>
      </c>
      <c r="C9" s="12">
        <v>4</v>
      </c>
      <c r="D9" s="8">
        <v>0.8579</v>
      </c>
      <c r="E9" s="9">
        <v>3.69068616906862</v>
      </c>
    </row>
    <row r="10" ht="15" spans="1:5">
      <c r="A10" s="5">
        <v>9</v>
      </c>
      <c r="B10" s="6" t="s">
        <v>13</v>
      </c>
      <c r="C10" s="12">
        <v>4</v>
      </c>
      <c r="D10" s="11">
        <v>1</v>
      </c>
      <c r="E10" s="9">
        <v>4</v>
      </c>
    </row>
    <row r="11" ht="30" spans="1:5">
      <c r="A11" s="5">
        <v>10</v>
      </c>
      <c r="B11" s="6" t="s">
        <v>14</v>
      </c>
      <c r="C11" s="12">
        <v>4</v>
      </c>
      <c r="D11" s="8">
        <v>0</v>
      </c>
      <c r="E11" s="9">
        <v>0</v>
      </c>
    </row>
    <row r="12" ht="30" spans="1:5">
      <c r="A12" s="5">
        <v>11</v>
      </c>
      <c r="B12" s="6" t="s">
        <v>15</v>
      </c>
      <c r="C12" s="12">
        <v>4</v>
      </c>
      <c r="D12" s="8">
        <v>0.8333</v>
      </c>
      <c r="E12" s="9">
        <v>3.33</v>
      </c>
    </row>
    <row r="13" ht="30" spans="1:5">
      <c r="A13" s="5">
        <v>12</v>
      </c>
      <c r="B13" s="6" t="s">
        <v>16</v>
      </c>
      <c r="C13" s="12">
        <v>4</v>
      </c>
      <c r="D13" s="8">
        <v>0.3333</v>
      </c>
      <c r="E13" s="9">
        <v>1.99970001499925</v>
      </c>
    </row>
    <row r="14" ht="30" spans="1:5">
      <c r="A14" s="5">
        <v>13</v>
      </c>
      <c r="B14" s="6" t="s">
        <v>17</v>
      </c>
      <c r="C14" s="12">
        <v>4</v>
      </c>
      <c r="D14" s="8">
        <v>0</v>
      </c>
      <c r="E14" s="9">
        <v>0</v>
      </c>
    </row>
    <row r="15" ht="30" spans="1:5">
      <c r="A15" s="5">
        <v>14</v>
      </c>
      <c r="B15" s="6" t="s">
        <v>18</v>
      </c>
      <c r="C15" s="12">
        <v>5</v>
      </c>
      <c r="D15" s="9">
        <v>0.666666666666667</v>
      </c>
      <c r="E15" s="9">
        <v>2.66666666666667</v>
      </c>
    </row>
    <row r="16" ht="30" spans="1:5">
      <c r="A16" s="5">
        <v>15</v>
      </c>
      <c r="B16" s="6" t="s">
        <v>19</v>
      </c>
      <c r="C16" s="12">
        <v>4</v>
      </c>
      <c r="D16" s="10">
        <v>6.67</v>
      </c>
      <c r="E16" s="9">
        <v>0.518058252427185</v>
      </c>
    </row>
    <row r="17" ht="15" spans="1:5">
      <c r="A17" s="7" t="s">
        <v>20</v>
      </c>
      <c r="B17" s="7"/>
      <c r="C17" s="7">
        <v>60</v>
      </c>
      <c r="D17" s="13" t="s">
        <v>21</v>
      </c>
      <c r="E17" s="9">
        <f>SUM(E2:E16)</f>
        <v>37.8086111031617</v>
      </c>
    </row>
    <row r="19" ht="15" spans="2:3">
      <c r="B19" s="14"/>
      <c r="C19" s="15"/>
    </row>
    <row r="20" ht="15" spans="2:3">
      <c r="B20" s="16"/>
      <c r="C20" s="15"/>
    </row>
  </sheetData>
  <mergeCells count="1">
    <mergeCell ref="A17:B17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tabSelected="1" zoomScale="130" zoomScaleNormal="130" workbookViewId="0">
      <selection activeCell="D1" sqref="D1:E1"/>
    </sheetView>
  </sheetViews>
  <sheetFormatPr defaultColWidth="8.72727272727273" defaultRowHeight="14" outlineLevelCol="4"/>
  <cols>
    <col min="1" max="1" width="8.72727272727273" style="1"/>
    <col min="2" max="2" width="17.2545454545455" style="1" customWidth="1"/>
    <col min="3" max="3" width="8.72727272727273" style="1"/>
    <col min="5" max="5" width="12.8181818181818"/>
  </cols>
  <sheetData>
    <row r="1" ht="15" spans="1: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</row>
    <row r="2" ht="15" spans="1:5">
      <c r="A2" s="5">
        <v>1</v>
      </c>
      <c r="B2" s="6" t="s">
        <v>5</v>
      </c>
      <c r="C2" s="7">
        <v>5</v>
      </c>
      <c r="D2" s="8">
        <v>1.07826086956522</v>
      </c>
      <c r="E2" s="9">
        <v>5</v>
      </c>
    </row>
    <row r="3" ht="15" spans="1:5">
      <c r="A3" s="5">
        <v>2</v>
      </c>
      <c r="B3" s="6" t="s">
        <v>6</v>
      </c>
      <c r="C3" s="7">
        <v>3</v>
      </c>
      <c r="D3" s="10">
        <v>16.9</v>
      </c>
      <c r="E3" s="9">
        <v>2.81666666666667</v>
      </c>
    </row>
    <row r="4" ht="15" spans="1:5">
      <c r="A4" s="5">
        <v>3</v>
      </c>
      <c r="B4" s="6" t="s">
        <v>7</v>
      </c>
      <c r="C4" s="7">
        <v>3</v>
      </c>
      <c r="D4" s="11">
        <v>0.74</v>
      </c>
      <c r="E4" s="10">
        <v>2.22</v>
      </c>
    </row>
    <row r="5" ht="15" spans="1:5">
      <c r="A5" s="5">
        <v>4</v>
      </c>
      <c r="B5" s="6" t="s">
        <v>8</v>
      </c>
      <c r="C5" s="7">
        <v>4</v>
      </c>
      <c r="D5" s="8">
        <v>0</v>
      </c>
      <c r="E5" s="9">
        <v>0</v>
      </c>
    </row>
    <row r="6" ht="15" spans="1:5">
      <c r="A6" s="5">
        <v>5</v>
      </c>
      <c r="B6" s="6" t="s">
        <v>9</v>
      </c>
      <c r="C6" s="7">
        <v>3</v>
      </c>
      <c r="D6" s="11">
        <v>0.96</v>
      </c>
      <c r="E6" s="10">
        <v>2.88</v>
      </c>
    </row>
    <row r="7" ht="15" spans="1:5">
      <c r="A7" s="5">
        <v>6</v>
      </c>
      <c r="B7" s="6" t="s">
        <v>10</v>
      </c>
      <c r="C7" s="7">
        <v>5</v>
      </c>
      <c r="D7" s="8">
        <v>0.9686</v>
      </c>
      <c r="E7" s="9">
        <v>4.843</v>
      </c>
    </row>
    <row r="8" ht="15" spans="1:5">
      <c r="A8" s="5">
        <v>7</v>
      </c>
      <c r="B8" s="6" t="s">
        <v>11</v>
      </c>
      <c r="C8" s="7">
        <v>4</v>
      </c>
      <c r="D8" s="11">
        <v>0.69</v>
      </c>
      <c r="E8" s="9">
        <v>3.94285714285714</v>
      </c>
    </row>
    <row r="9" ht="15" spans="1:5">
      <c r="A9" s="5">
        <v>8</v>
      </c>
      <c r="B9" s="6" t="s">
        <v>12</v>
      </c>
      <c r="C9" s="12">
        <v>4</v>
      </c>
      <c r="D9" s="8">
        <v>0.8705</v>
      </c>
      <c r="E9" s="9">
        <v>3.74489137448914</v>
      </c>
    </row>
    <row r="10" ht="15" spans="1:5">
      <c r="A10" s="5">
        <v>9</v>
      </c>
      <c r="B10" s="6" t="s">
        <v>13</v>
      </c>
      <c r="C10" s="12">
        <v>4</v>
      </c>
      <c r="D10" s="11">
        <v>1</v>
      </c>
      <c r="E10" s="9">
        <v>4</v>
      </c>
    </row>
    <row r="11" ht="30" spans="1:5">
      <c r="A11" s="5">
        <v>10</v>
      </c>
      <c r="B11" s="6" t="s">
        <v>14</v>
      </c>
      <c r="C11" s="12">
        <v>4</v>
      </c>
      <c r="D11" s="8">
        <v>0</v>
      </c>
      <c r="E11" s="9">
        <v>0</v>
      </c>
    </row>
    <row r="12" ht="30" spans="1:5">
      <c r="A12" s="5">
        <v>11</v>
      </c>
      <c r="B12" s="6" t="s">
        <v>15</v>
      </c>
      <c r="C12" s="12">
        <v>4</v>
      </c>
      <c r="D12" s="11">
        <v>0.5</v>
      </c>
      <c r="E12" s="9">
        <v>2</v>
      </c>
    </row>
    <row r="13" ht="30" spans="1:5">
      <c r="A13" s="5">
        <v>12</v>
      </c>
      <c r="B13" s="6" t="s">
        <v>16</v>
      </c>
      <c r="C13" s="12">
        <v>4</v>
      </c>
      <c r="D13" s="8">
        <v>0.5</v>
      </c>
      <c r="E13" s="9">
        <v>2.99985000749963</v>
      </c>
    </row>
    <row r="14" ht="30" spans="1:5">
      <c r="A14" s="5">
        <v>13</v>
      </c>
      <c r="B14" s="6" t="s">
        <v>17</v>
      </c>
      <c r="C14" s="12">
        <v>4</v>
      </c>
      <c r="D14" s="8">
        <v>0.125</v>
      </c>
      <c r="E14" s="9">
        <v>1</v>
      </c>
    </row>
    <row r="15" ht="30" spans="1:5">
      <c r="A15" s="5">
        <v>14</v>
      </c>
      <c r="B15" s="6" t="s">
        <v>18</v>
      </c>
      <c r="C15" s="12">
        <v>5</v>
      </c>
      <c r="D15" s="10">
        <v>0.625</v>
      </c>
      <c r="E15" s="9">
        <v>2.5</v>
      </c>
    </row>
    <row r="16" ht="30" spans="1:5">
      <c r="A16" s="5">
        <v>15</v>
      </c>
      <c r="B16" s="6" t="s">
        <v>19</v>
      </c>
      <c r="C16" s="12">
        <v>4</v>
      </c>
      <c r="D16" s="10">
        <v>9.5</v>
      </c>
      <c r="E16" s="9">
        <v>0.737864077669903</v>
      </c>
    </row>
    <row r="17" ht="15" spans="1:5">
      <c r="A17" s="7" t="s">
        <v>20</v>
      </c>
      <c r="B17" s="7"/>
      <c r="C17" s="7">
        <v>60</v>
      </c>
      <c r="D17" s="13" t="s">
        <v>21</v>
      </c>
      <c r="E17" s="9">
        <f>SUM(E2:E16)</f>
        <v>38.6851292691825</v>
      </c>
    </row>
    <row r="19" ht="15" spans="2:3">
      <c r="B19" s="14"/>
      <c r="C19" s="15"/>
    </row>
    <row r="20" ht="15" spans="2:3">
      <c r="B20" s="16"/>
      <c r="C20" s="15"/>
    </row>
  </sheetData>
  <mergeCells count="1">
    <mergeCell ref="A17:B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飞行器制造技术(飞机制造技术方向)</vt:lpstr>
      <vt:lpstr>机电一体化技术</vt:lpstr>
      <vt:lpstr>汽车运用与维修技术</vt:lpstr>
      <vt:lpstr>软件技术</vt:lpstr>
      <vt:lpstr>计算机网络技术(含中高职贯通）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小鑫鑫</cp:lastModifiedBy>
  <dcterms:created xsi:type="dcterms:W3CDTF">2026-04-11T02:25:00Z</dcterms:created>
  <dcterms:modified xsi:type="dcterms:W3CDTF">2026-04-11T03:17:08Z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774E95D9FBEB4E37AB9A21CF30271BAD_13</vt:lpwstr>
  </property>
  <property fmtid="{D5CDD505-2E9C-101B-9397-08002B2CF9AE}" pid="3" name="KSOProductBuildVer">
    <vt:lpwstr>2052-12.1.0.16729</vt:lpwstr>
  </property>
</Properties>
</file>