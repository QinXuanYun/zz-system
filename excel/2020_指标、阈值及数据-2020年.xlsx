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G:\projects_data\.openclaw\workspace\academic-report\excel\"/>
    </mc:Choice>
  </mc:AlternateContent>
  <xr:revisionPtr revIDLastSave="0" documentId="13_ncr:1_{4D553572-421F-432F-8F9C-5FDEA1EA46EC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飞行器制造技术（飞机制造技术方向" sheetId="2" r:id="rId1"/>
    <sheet name="机电一体化技术" sheetId="3" r:id="rId2"/>
    <sheet name="汽车运用与维修技术" sheetId="4" r:id="rId3"/>
    <sheet name="软件技术" sheetId="5" r:id="rId4"/>
    <sheet name="计算机网络技术（含中高职贯通）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6" l="1"/>
  <c r="E8" i="6"/>
  <c r="E6" i="6"/>
  <c r="E4" i="6"/>
  <c r="E3" i="6"/>
  <c r="E17" i="5"/>
  <c r="E8" i="5"/>
  <c r="E4" i="5"/>
  <c r="E3" i="5"/>
  <c r="E17" i="4"/>
  <c r="E17" i="3"/>
  <c r="E17" i="2"/>
</calcChain>
</file>

<file path=xl/sharedStrings.xml><?xml version="1.0" encoding="utf-8"?>
<sst xmlns="http://schemas.openxmlformats.org/spreadsheetml/2006/main" count="110" uniqueCount="23">
  <si>
    <t>序号</t>
  </si>
  <si>
    <t>指标名称</t>
  </si>
  <si>
    <t>生师比</t>
  </si>
  <si>
    <t>课程优良率</t>
  </si>
  <si>
    <t>技能证书通过率</t>
  </si>
  <si>
    <t>毕业率</t>
  </si>
  <si>
    <t>就业去向落实率</t>
  </si>
  <si>
    <t>专业相关度</t>
  </si>
  <si>
    <t>在校生满意度</t>
  </si>
  <si>
    <t>毕业生满意度</t>
  </si>
  <si>
    <t>企业订单学生占比</t>
  </si>
  <si>
    <t>双师型专任教师占比</t>
  </si>
  <si>
    <t>高级职称专任教师占比</t>
  </si>
  <si>
    <t>高技术技能人才占比</t>
  </si>
  <si>
    <t>师均论文数、著作数、课题数</t>
  </si>
  <si>
    <t>教师人均企业实践时间（天）</t>
  </si>
  <si>
    <t>权重</t>
  </si>
  <si>
    <t>数值</t>
  </si>
  <si>
    <t>指标得分</t>
  </si>
  <si>
    <t>总分</t>
  </si>
  <si>
    <t>/</t>
  </si>
  <si>
    <t>报到率</t>
    <phoneticPr fontId="8" type="noConversion"/>
  </si>
  <si>
    <t>报到率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</si>
</sst>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_ "/>
  </numFmts>
  <fonts count="12" x14ac:knownFonts="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9"/>
      <name val="宋体"/>
      <charset val="134"/>
      <scheme val="minor"/>
    </font>
    <font>
      <sz val="12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10" fontId="4" fillId="0" borderId="5" xfId="0" applyNumberFormat="1" applyFont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tabSelected="1" workbookViewId="0">
      <selection activeCell="B2" sqref="B2"/>
    </sheetView>
  </sheetViews>
  <sheetFormatPr defaultColWidth="8.7265625" defaultRowHeight="14" x14ac:dyDescent="0.25"/>
  <cols>
    <col min="2" max="2" width="17.26953125" customWidth="1"/>
  </cols>
  <sheetData>
    <row r="1" spans="1:5" ht="53" customHeight="1" x14ac:dyDescent="0.25">
      <c r="A1" s="1" t="s">
        <v>0</v>
      </c>
      <c r="B1" s="2" t="s">
        <v>1</v>
      </c>
      <c r="C1" s="3" t="s">
        <v>16</v>
      </c>
      <c r="D1" s="3" t="s">
        <v>17</v>
      </c>
      <c r="E1" s="3" t="s">
        <v>18</v>
      </c>
    </row>
    <row r="2" spans="1:5" ht="24" customHeight="1" x14ac:dyDescent="0.25">
      <c r="A2" s="4">
        <v>1</v>
      </c>
      <c r="B2" s="55" t="s">
        <v>22</v>
      </c>
      <c r="C2" s="6">
        <v>5</v>
      </c>
      <c r="D2" s="45">
        <v>0.68889999999999996</v>
      </c>
      <c r="E2" s="19">
        <v>3.44</v>
      </c>
    </row>
    <row r="3" spans="1:5" ht="24" customHeight="1" x14ac:dyDescent="0.25">
      <c r="A3" s="4">
        <v>2</v>
      </c>
      <c r="B3" s="9" t="s">
        <v>2</v>
      </c>
      <c r="C3" s="6">
        <v>3</v>
      </c>
      <c r="D3" s="44">
        <v>18</v>
      </c>
      <c r="E3" s="44">
        <v>3</v>
      </c>
    </row>
    <row r="4" spans="1:5" ht="24" customHeight="1" x14ac:dyDescent="0.25">
      <c r="A4" s="4">
        <v>3</v>
      </c>
      <c r="B4" s="9" t="s">
        <v>3</v>
      </c>
      <c r="C4" s="6">
        <v>3</v>
      </c>
      <c r="D4" s="46">
        <v>0.88</v>
      </c>
      <c r="E4" s="44">
        <v>2.64</v>
      </c>
    </row>
    <row r="5" spans="1:5" ht="24" customHeight="1" x14ac:dyDescent="0.25">
      <c r="A5" s="4">
        <v>4</v>
      </c>
      <c r="B5" s="9" t="s">
        <v>4</v>
      </c>
      <c r="C5" s="6">
        <v>4</v>
      </c>
      <c r="D5" s="45">
        <v>0.51429999999999998</v>
      </c>
      <c r="E5" s="19">
        <v>1.54</v>
      </c>
    </row>
    <row r="6" spans="1:5" ht="24" customHeight="1" x14ac:dyDescent="0.25">
      <c r="A6" s="4">
        <v>5</v>
      </c>
      <c r="B6" s="9" t="s">
        <v>5</v>
      </c>
      <c r="C6" s="6">
        <v>3</v>
      </c>
      <c r="D6" s="46">
        <v>0.96</v>
      </c>
      <c r="E6" s="44">
        <v>2.88</v>
      </c>
    </row>
    <row r="7" spans="1:5" ht="24" customHeight="1" x14ac:dyDescent="0.25">
      <c r="A7" s="4">
        <v>6</v>
      </c>
      <c r="B7" s="9" t="s">
        <v>6</v>
      </c>
      <c r="C7" s="6">
        <v>5</v>
      </c>
      <c r="D7" s="46">
        <v>1</v>
      </c>
      <c r="E7" s="44">
        <v>5</v>
      </c>
    </row>
    <row r="8" spans="1:5" ht="24" customHeight="1" x14ac:dyDescent="0.25">
      <c r="A8" s="4">
        <v>7</v>
      </c>
      <c r="B8" s="9" t="s">
        <v>7</v>
      </c>
      <c r="C8" s="6">
        <v>4</v>
      </c>
      <c r="D8" s="46">
        <v>0.71</v>
      </c>
      <c r="E8" s="44">
        <v>4</v>
      </c>
    </row>
    <row r="9" spans="1:5" ht="24" customHeight="1" x14ac:dyDescent="0.25">
      <c r="A9" s="4">
        <v>8</v>
      </c>
      <c r="B9" s="9" t="s">
        <v>8</v>
      </c>
      <c r="C9" s="14">
        <v>4</v>
      </c>
      <c r="D9" s="45">
        <v>0.94499999999999995</v>
      </c>
      <c r="E9" s="19">
        <v>3.96</v>
      </c>
    </row>
    <row r="10" spans="1:5" ht="24" customHeight="1" x14ac:dyDescent="0.25">
      <c r="A10" s="4">
        <v>9</v>
      </c>
      <c r="B10" s="9" t="s">
        <v>9</v>
      </c>
      <c r="C10" s="14">
        <v>4</v>
      </c>
      <c r="D10" s="45">
        <v>0.87029999999999996</v>
      </c>
      <c r="E10" s="19">
        <v>3.54</v>
      </c>
    </row>
    <row r="11" spans="1:5" ht="24" customHeight="1" x14ac:dyDescent="0.25">
      <c r="A11" s="4">
        <v>10</v>
      </c>
      <c r="B11" s="9" t="s">
        <v>10</v>
      </c>
      <c r="C11" s="14">
        <v>4</v>
      </c>
      <c r="D11" s="45">
        <v>0.38040000000000002</v>
      </c>
      <c r="E11" s="48">
        <v>4</v>
      </c>
    </row>
    <row r="12" spans="1:5" ht="42" customHeight="1" x14ac:dyDescent="0.25">
      <c r="A12" s="4">
        <v>11</v>
      </c>
      <c r="B12" s="9" t="s">
        <v>11</v>
      </c>
      <c r="C12" s="14">
        <v>4</v>
      </c>
      <c r="D12" s="46">
        <v>0.5</v>
      </c>
      <c r="E12" s="19">
        <v>2</v>
      </c>
    </row>
    <row r="13" spans="1:5" ht="59" customHeight="1" x14ac:dyDescent="0.25">
      <c r="A13" s="4">
        <v>12</v>
      </c>
      <c r="B13" s="9" t="s">
        <v>12</v>
      </c>
      <c r="C13" s="14">
        <v>4</v>
      </c>
      <c r="D13" s="44">
        <v>0</v>
      </c>
      <c r="E13" s="44">
        <v>0</v>
      </c>
    </row>
    <row r="14" spans="1:5" ht="48" customHeight="1" x14ac:dyDescent="0.25">
      <c r="A14" s="4">
        <v>13</v>
      </c>
      <c r="B14" s="9" t="s">
        <v>13</v>
      </c>
      <c r="C14" s="14">
        <v>4</v>
      </c>
      <c r="D14" s="44">
        <v>0</v>
      </c>
      <c r="E14" s="44">
        <v>0</v>
      </c>
    </row>
    <row r="15" spans="1:5" ht="63" customHeight="1" x14ac:dyDescent="0.25">
      <c r="A15" s="4">
        <v>14</v>
      </c>
      <c r="B15" s="9" t="s">
        <v>14</v>
      </c>
      <c r="C15" s="14">
        <v>5</v>
      </c>
      <c r="D15" s="44">
        <v>0.5</v>
      </c>
      <c r="E15" s="19">
        <v>1.25</v>
      </c>
    </row>
    <row r="16" spans="1:5" ht="24" customHeight="1" x14ac:dyDescent="0.25">
      <c r="A16" s="4">
        <v>15</v>
      </c>
      <c r="B16" s="9" t="s">
        <v>15</v>
      </c>
      <c r="C16" s="14">
        <v>4</v>
      </c>
      <c r="D16" s="44">
        <v>24.5</v>
      </c>
      <c r="E16" s="19">
        <v>2.33</v>
      </c>
    </row>
    <row r="17" spans="1:5" ht="15" x14ac:dyDescent="0.25">
      <c r="A17" s="56" t="s">
        <v>19</v>
      </c>
      <c r="B17" s="56"/>
      <c r="C17" s="10">
        <v>60</v>
      </c>
      <c r="D17" s="18" t="s">
        <v>20</v>
      </c>
      <c r="E17" s="51">
        <f>SUM(E2:E16)</f>
        <v>39.58</v>
      </c>
    </row>
    <row r="19" spans="1:5" ht="15" x14ac:dyDescent="0.25">
      <c r="B19" s="33"/>
      <c r="C19" s="34"/>
    </row>
    <row r="20" spans="1:5" ht="15" x14ac:dyDescent="0.25">
      <c r="B20" s="35"/>
      <c r="C20" s="34"/>
    </row>
  </sheetData>
  <mergeCells count="1">
    <mergeCell ref="A17:B17"/>
  </mergeCells>
  <phoneticPr fontId="1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>
      <selection activeCell="B2" sqref="B2"/>
    </sheetView>
  </sheetViews>
  <sheetFormatPr defaultColWidth="9" defaultRowHeight="14" x14ac:dyDescent="0.25"/>
  <cols>
    <col min="1" max="1" width="8.7265625"/>
    <col min="2" max="2" width="11.90625" customWidth="1"/>
    <col min="3" max="3" width="8.7265625"/>
    <col min="5" max="5" width="9.90625" customWidth="1"/>
  </cols>
  <sheetData>
    <row r="1" spans="1:5" ht="15" x14ac:dyDescent="0.25">
      <c r="A1" s="1" t="s">
        <v>0</v>
      </c>
      <c r="B1" s="2" t="s">
        <v>1</v>
      </c>
      <c r="C1" s="36" t="s">
        <v>16</v>
      </c>
      <c r="D1" s="36" t="s">
        <v>17</v>
      </c>
      <c r="E1" s="36" t="s">
        <v>18</v>
      </c>
    </row>
    <row r="2" spans="1:5" ht="15" x14ac:dyDescent="0.25">
      <c r="A2" s="37">
        <v>1</v>
      </c>
      <c r="B2" s="54" t="s">
        <v>22</v>
      </c>
      <c r="C2" s="39">
        <v>5</v>
      </c>
      <c r="D2" s="40">
        <v>0.875</v>
      </c>
      <c r="E2" s="41">
        <v>4.38</v>
      </c>
    </row>
    <row r="3" spans="1:5" ht="15" x14ac:dyDescent="0.25">
      <c r="A3" s="37">
        <v>2</v>
      </c>
      <c r="B3" s="42" t="s">
        <v>2</v>
      </c>
      <c r="C3" s="43">
        <v>3</v>
      </c>
      <c r="D3" s="44">
        <v>16.8</v>
      </c>
      <c r="E3" s="19">
        <v>2.8</v>
      </c>
    </row>
    <row r="4" spans="1:5" ht="15" x14ac:dyDescent="0.25">
      <c r="A4" s="37">
        <v>3</v>
      </c>
      <c r="B4" s="42" t="s">
        <v>3</v>
      </c>
      <c r="C4" s="43">
        <v>3</v>
      </c>
      <c r="D4" s="45">
        <v>0.79</v>
      </c>
      <c r="E4" s="44">
        <v>2.37</v>
      </c>
    </row>
    <row r="5" spans="1:5" ht="30" x14ac:dyDescent="0.25">
      <c r="A5" s="37">
        <v>4</v>
      </c>
      <c r="B5" s="38" t="s">
        <v>4</v>
      </c>
      <c r="C5" s="43">
        <v>4</v>
      </c>
      <c r="D5" s="45">
        <v>0.83330000000000004</v>
      </c>
      <c r="E5" s="19">
        <v>2.5</v>
      </c>
    </row>
    <row r="6" spans="1:5" ht="15" x14ac:dyDescent="0.25">
      <c r="A6" s="37">
        <v>5</v>
      </c>
      <c r="B6" s="42" t="s">
        <v>5</v>
      </c>
      <c r="C6" s="43">
        <v>3</v>
      </c>
      <c r="D6" s="46">
        <v>0.93</v>
      </c>
      <c r="E6" s="44">
        <v>2.79</v>
      </c>
    </row>
    <row r="7" spans="1:5" ht="30" x14ac:dyDescent="0.25">
      <c r="A7" s="37">
        <v>6</v>
      </c>
      <c r="B7" s="38" t="s">
        <v>6</v>
      </c>
      <c r="C7" s="43">
        <v>5</v>
      </c>
      <c r="D7" s="46">
        <v>1</v>
      </c>
      <c r="E7" s="44">
        <v>5</v>
      </c>
    </row>
    <row r="8" spans="1:5" ht="15" x14ac:dyDescent="0.25">
      <c r="A8" s="37">
        <v>7</v>
      </c>
      <c r="B8" s="38" t="s">
        <v>7</v>
      </c>
      <c r="C8" s="43">
        <v>4</v>
      </c>
      <c r="D8" s="46">
        <v>0.57999999999999996</v>
      </c>
      <c r="E8" s="19">
        <v>3.3142857142857101</v>
      </c>
    </row>
    <row r="9" spans="1:5" ht="30" x14ac:dyDescent="0.25">
      <c r="A9" s="37">
        <v>8</v>
      </c>
      <c r="B9" s="42" t="s">
        <v>8</v>
      </c>
      <c r="C9" s="47">
        <v>4</v>
      </c>
      <c r="D9" s="45">
        <v>0.89100000000000001</v>
      </c>
      <c r="E9" s="19">
        <v>3.73</v>
      </c>
    </row>
    <row r="10" spans="1:5" ht="30" x14ac:dyDescent="0.25">
      <c r="A10" s="37">
        <v>9</v>
      </c>
      <c r="B10" s="38" t="s">
        <v>9</v>
      </c>
      <c r="C10" s="47">
        <v>4</v>
      </c>
      <c r="D10" s="45">
        <v>0.95669999999999999</v>
      </c>
      <c r="E10" s="19">
        <v>3.89</v>
      </c>
    </row>
    <row r="11" spans="1:5" ht="30" x14ac:dyDescent="0.25">
      <c r="A11" s="37">
        <v>10</v>
      </c>
      <c r="B11" s="42" t="s">
        <v>10</v>
      </c>
      <c r="C11" s="47">
        <v>4</v>
      </c>
      <c r="D11" s="46">
        <v>0</v>
      </c>
      <c r="E11" s="48">
        <v>0</v>
      </c>
    </row>
    <row r="12" spans="1:5" ht="30" x14ac:dyDescent="0.25">
      <c r="A12" s="37">
        <v>11</v>
      </c>
      <c r="B12" s="42" t="s">
        <v>11</v>
      </c>
      <c r="C12" s="47">
        <v>4</v>
      </c>
      <c r="D12" s="46">
        <v>0.5</v>
      </c>
      <c r="E12" s="19">
        <v>2</v>
      </c>
    </row>
    <row r="13" spans="1:5" ht="30" x14ac:dyDescent="0.25">
      <c r="A13" s="37">
        <v>12</v>
      </c>
      <c r="B13" s="42" t="s">
        <v>12</v>
      </c>
      <c r="C13" s="47">
        <v>4</v>
      </c>
      <c r="D13" s="44">
        <v>0</v>
      </c>
      <c r="E13" s="44">
        <v>0</v>
      </c>
    </row>
    <row r="14" spans="1:5" ht="30" x14ac:dyDescent="0.25">
      <c r="A14" s="37">
        <v>13</v>
      </c>
      <c r="B14" s="42" t="s">
        <v>13</v>
      </c>
      <c r="C14" s="47">
        <v>4</v>
      </c>
      <c r="D14" s="44">
        <v>0</v>
      </c>
      <c r="E14" s="44">
        <v>0</v>
      </c>
    </row>
    <row r="15" spans="1:5" ht="45" x14ac:dyDescent="0.25">
      <c r="A15" s="37">
        <v>14</v>
      </c>
      <c r="B15" s="42" t="s">
        <v>14</v>
      </c>
      <c r="C15" s="47">
        <v>5</v>
      </c>
      <c r="D15" s="44">
        <v>0</v>
      </c>
      <c r="E15" s="48">
        <v>0</v>
      </c>
    </row>
    <row r="16" spans="1:5" ht="45" x14ac:dyDescent="0.25">
      <c r="A16" s="4">
        <v>15</v>
      </c>
      <c r="B16" s="49" t="s">
        <v>15</v>
      </c>
      <c r="C16" s="47">
        <v>4</v>
      </c>
      <c r="D16" s="44">
        <v>22.5</v>
      </c>
      <c r="E16" s="19">
        <v>2.14</v>
      </c>
    </row>
    <row r="17" spans="1:5" ht="15" x14ac:dyDescent="0.25">
      <c r="A17" s="56" t="s">
        <v>19</v>
      </c>
      <c r="B17" s="56"/>
      <c r="C17" s="50">
        <v>60</v>
      </c>
      <c r="D17" s="18" t="s">
        <v>20</v>
      </c>
      <c r="E17" s="19">
        <f>SUM(E2:E16)</f>
        <v>34.914285714285697</v>
      </c>
    </row>
    <row r="19" spans="1:5" ht="15" x14ac:dyDescent="0.25">
      <c r="B19" s="33"/>
      <c r="C19" s="34"/>
    </row>
    <row r="20" spans="1:5" ht="15" x14ac:dyDescent="0.25">
      <c r="B20" s="35"/>
      <c r="C20" s="34"/>
    </row>
  </sheetData>
  <mergeCells count="1">
    <mergeCell ref="A17:B17"/>
  </mergeCells>
  <phoneticPr fontId="1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"/>
  <sheetViews>
    <sheetView zoomScale="120" zoomScaleNormal="120" workbookViewId="0">
      <selection activeCell="B2" sqref="B2"/>
    </sheetView>
  </sheetViews>
  <sheetFormatPr defaultColWidth="9" defaultRowHeight="14" x14ac:dyDescent="0.25"/>
  <cols>
    <col min="1" max="1" width="8.7265625"/>
    <col min="2" max="2" width="25" customWidth="1"/>
    <col min="3" max="3" width="8.7265625"/>
    <col min="5" max="5" width="12.6328125"/>
  </cols>
  <sheetData>
    <row r="1" spans="1:5" ht="15" x14ac:dyDescent="0.25">
      <c r="A1" s="20" t="s">
        <v>0</v>
      </c>
      <c r="B1" s="21" t="s">
        <v>1</v>
      </c>
      <c r="C1" s="3" t="s">
        <v>16</v>
      </c>
      <c r="D1" s="3" t="s">
        <v>17</v>
      </c>
      <c r="E1" s="3" t="s">
        <v>18</v>
      </c>
    </row>
    <row r="2" spans="1:5" x14ac:dyDescent="0.25">
      <c r="A2" s="22">
        <v>1</v>
      </c>
      <c r="B2" s="53" t="s">
        <v>22</v>
      </c>
      <c r="C2" s="24">
        <v>5</v>
      </c>
      <c r="D2" s="25">
        <v>1.0541</v>
      </c>
      <c r="E2" s="26">
        <v>5</v>
      </c>
    </row>
    <row r="3" spans="1:5" x14ac:dyDescent="0.25">
      <c r="A3" s="22">
        <v>2</v>
      </c>
      <c r="B3" s="27" t="s">
        <v>2</v>
      </c>
      <c r="C3" s="24">
        <v>3</v>
      </c>
      <c r="D3" s="28">
        <v>17</v>
      </c>
      <c r="E3" s="26">
        <v>2.8333333333333299</v>
      </c>
    </row>
    <row r="4" spans="1:5" x14ac:dyDescent="0.25">
      <c r="A4" s="22">
        <v>3</v>
      </c>
      <c r="B4" s="27" t="s">
        <v>3</v>
      </c>
      <c r="C4" s="24">
        <v>3</v>
      </c>
      <c r="D4" s="29">
        <v>0.8</v>
      </c>
      <c r="E4" s="28">
        <v>2.4</v>
      </c>
    </row>
    <row r="5" spans="1:5" x14ac:dyDescent="0.25">
      <c r="A5" s="22">
        <v>4</v>
      </c>
      <c r="B5" s="23" t="s">
        <v>4</v>
      </c>
      <c r="C5" s="24">
        <v>4</v>
      </c>
      <c r="D5" s="25">
        <v>0.88460000000000005</v>
      </c>
      <c r="E5" s="26">
        <v>2.65</v>
      </c>
    </row>
    <row r="6" spans="1:5" x14ac:dyDescent="0.25">
      <c r="A6" s="22">
        <v>5</v>
      </c>
      <c r="B6" s="27" t="s">
        <v>5</v>
      </c>
      <c r="C6" s="24">
        <v>3</v>
      </c>
      <c r="D6" s="29">
        <v>0.91</v>
      </c>
      <c r="E6" s="28">
        <v>2.73</v>
      </c>
    </row>
    <row r="7" spans="1:5" x14ac:dyDescent="0.25">
      <c r="A7" s="22">
        <v>6</v>
      </c>
      <c r="B7" s="23" t="s">
        <v>6</v>
      </c>
      <c r="C7" s="24">
        <v>5</v>
      </c>
      <c r="D7" s="25">
        <v>0.92310000000000003</v>
      </c>
      <c r="E7" s="26">
        <v>4.62</v>
      </c>
    </row>
    <row r="8" spans="1:5" x14ac:dyDescent="0.25">
      <c r="A8" s="22">
        <v>7</v>
      </c>
      <c r="B8" s="23" t="s">
        <v>7</v>
      </c>
      <c r="C8" s="24">
        <v>4</v>
      </c>
      <c r="D8" s="29">
        <v>0.62</v>
      </c>
      <c r="E8" s="26">
        <v>3.54285714285714</v>
      </c>
    </row>
    <row r="9" spans="1:5" ht="15" x14ac:dyDescent="0.25">
      <c r="A9" s="22">
        <v>8</v>
      </c>
      <c r="B9" s="27" t="s">
        <v>8</v>
      </c>
      <c r="C9" s="14">
        <v>4</v>
      </c>
      <c r="D9" s="25">
        <v>0.94499999999999995</v>
      </c>
      <c r="E9" s="26">
        <v>3.96</v>
      </c>
    </row>
    <row r="10" spans="1:5" ht="15" x14ac:dyDescent="0.25">
      <c r="A10" s="22">
        <v>9</v>
      </c>
      <c r="B10" s="23" t="s">
        <v>9</v>
      </c>
      <c r="C10" s="14">
        <v>4</v>
      </c>
      <c r="D10" s="25">
        <v>0.90610000000000002</v>
      </c>
      <c r="E10" s="26">
        <v>3.68</v>
      </c>
    </row>
    <row r="11" spans="1:5" ht="15" x14ac:dyDescent="0.25">
      <c r="A11" s="22">
        <v>10</v>
      </c>
      <c r="B11" s="27" t="s">
        <v>10</v>
      </c>
      <c r="C11" s="14">
        <v>4</v>
      </c>
      <c r="D11" s="29">
        <v>0</v>
      </c>
      <c r="E11" s="30">
        <v>0</v>
      </c>
    </row>
    <row r="12" spans="1:5" ht="15" x14ac:dyDescent="0.25">
      <c r="A12" s="22">
        <v>11</v>
      </c>
      <c r="B12" s="27" t="s">
        <v>11</v>
      </c>
      <c r="C12" s="14">
        <v>4</v>
      </c>
      <c r="D12" s="29">
        <v>0.75</v>
      </c>
      <c r="E12" s="26">
        <v>3</v>
      </c>
    </row>
    <row r="13" spans="1:5" ht="15" x14ac:dyDescent="0.25">
      <c r="A13" s="22">
        <v>12</v>
      </c>
      <c r="B13" s="27" t="s">
        <v>12</v>
      </c>
      <c r="C13" s="14">
        <v>4</v>
      </c>
      <c r="D13" s="29">
        <v>0.25</v>
      </c>
      <c r="E13" s="26">
        <v>1</v>
      </c>
    </row>
    <row r="14" spans="1:5" ht="15" x14ac:dyDescent="0.25">
      <c r="A14" s="22">
        <v>13</v>
      </c>
      <c r="B14" s="27" t="s">
        <v>13</v>
      </c>
      <c r="C14" s="14">
        <v>4</v>
      </c>
      <c r="D14" s="29">
        <v>0.25</v>
      </c>
      <c r="E14" s="28">
        <v>3</v>
      </c>
    </row>
    <row r="15" spans="1:5" ht="28" x14ac:dyDescent="0.25">
      <c r="A15" s="22">
        <v>14</v>
      </c>
      <c r="B15" s="27" t="s">
        <v>14</v>
      </c>
      <c r="C15" s="14">
        <v>5</v>
      </c>
      <c r="D15" s="28">
        <v>0</v>
      </c>
      <c r="E15" s="30">
        <v>0</v>
      </c>
    </row>
    <row r="16" spans="1:5" ht="28" x14ac:dyDescent="0.25">
      <c r="A16" s="22">
        <v>15</v>
      </c>
      <c r="B16" s="27" t="s">
        <v>15</v>
      </c>
      <c r="C16" s="14">
        <v>4</v>
      </c>
      <c r="D16" s="28">
        <v>22.5</v>
      </c>
      <c r="E16" s="26">
        <v>2.14</v>
      </c>
    </row>
    <row r="17" spans="1:5" x14ac:dyDescent="0.25">
      <c r="A17" s="57" t="s">
        <v>19</v>
      </c>
      <c r="B17" s="57"/>
      <c r="C17" s="31">
        <v>60</v>
      </c>
      <c r="D17" s="32" t="s">
        <v>20</v>
      </c>
      <c r="E17" s="26">
        <f>SUM(E2:E16)</f>
        <v>40.556190476190501</v>
      </c>
    </row>
    <row r="19" spans="1:5" ht="15" x14ac:dyDescent="0.25">
      <c r="B19" s="33"/>
      <c r="C19" s="34"/>
    </row>
    <row r="20" spans="1:5" ht="15" x14ac:dyDescent="0.25">
      <c r="B20" s="35"/>
      <c r="C20" s="34"/>
    </row>
  </sheetData>
  <mergeCells count="1">
    <mergeCell ref="A17:B17"/>
  </mergeCells>
  <phoneticPr fontId="1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"/>
  <sheetViews>
    <sheetView zoomScale="110" zoomScaleNormal="110" workbookViewId="0">
      <selection activeCell="B2" sqref="B2"/>
    </sheetView>
  </sheetViews>
  <sheetFormatPr defaultColWidth="9" defaultRowHeight="14" x14ac:dyDescent="0.25"/>
  <cols>
    <col min="2" max="2" width="20.36328125" customWidth="1"/>
    <col min="5" max="5" width="12.6328125"/>
  </cols>
  <sheetData>
    <row r="1" spans="1:5" ht="15" x14ac:dyDescent="0.25">
      <c r="A1" s="1" t="s">
        <v>0</v>
      </c>
      <c r="B1" s="2" t="s">
        <v>1</v>
      </c>
      <c r="C1" s="3" t="s">
        <v>16</v>
      </c>
      <c r="D1" s="3" t="s">
        <v>17</v>
      </c>
      <c r="E1" s="3" t="s">
        <v>18</v>
      </c>
    </row>
    <row r="2" spans="1:5" ht="15" x14ac:dyDescent="0.25">
      <c r="A2" s="4">
        <v>1</v>
      </c>
      <c r="B2" s="52" t="s">
        <v>22</v>
      </c>
      <c r="C2" s="6">
        <v>5</v>
      </c>
      <c r="D2" s="7">
        <v>1.0658000000000001</v>
      </c>
      <c r="E2" s="8">
        <v>5</v>
      </c>
    </row>
    <row r="3" spans="1:5" ht="15" x14ac:dyDescent="0.25">
      <c r="A3" s="4">
        <v>2</v>
      </c>
      <c r="B3" s="9" t="s">
        <v>2</v>
      </c>
      <c r="C3" s="6">
        <v>3</v>
      </c>
      <c r="D3" s="10">
        <v>16.5</v>
      </c>
      <c r="E3" s="11">
        <f>D3/18*$C$4</f>
        <v>2.75</v>
      </c>
    </row>
    <row r="4" spans="1:5" ht="15" x14ac:dyDescent="0.25">
      <c r="A4" s="4">
        <v>3</v>
      </c>
      <c r="B4" s="9" t="s">
        <v>3</v>
      </c>
      <c r="C4" s="6">
        <v>3</v>
      </c>
      <c r="D4" s="12">
        <v>0.82</v>
      </c>
      <c r="E4" s="10">
        <f>D4/1*$C$6</f>
        <v>2.46</v>
      </c>
    </row>
    <row r="5" spans="1:5" ht="15" x14ac:dyDescent="0.25">
      <c r="A5" s="4">
        <v>4</v>
      </c>
      <c r="B5" s="5" t="s">
        <v>4</v>
      </c>
      <c r="C5" s="6">
        <v>4</v>
      </c>
      <c r="D5" s="7">
        <v>0.40660000000000002</v>
      </c>
      <c r="E5" s="8">
        <v>1.22</v>
      </c>
    </row>
    <row r="6" spans="1:5" ht="15" x14ac:dyDescent="0.25">
      <c r="A6" s="4">
        <v>5</v>
      </c>
      <c r="B6" s="9" t="s">
        <v>5</v>
      </c>
      <c r="C6" s="6">
        <v>3</v>
      </c>
      <c r="D6" s="13">
        <v>0.9</v>
      </c>
      <c r="E6" s="10">
        <v>2.7</v>
      </c>
    </row>
    <row r="7" spans="1:5" ht="15" x14ac:dyDescent="0.25">
      <c r="A7" s="4">
        <v>6</v>
      </c>
      <c r="B7" s="5" t="s">
        <v>6</v>
      </c>
      <c r="C7" s="6">
        <v>5</v>
      </c>
      <c r="D7" s="7">
        <v>0.92220000000000002</v>
      </c>
      <c r="E7" s="8">
        <v>4.6100000000000003</v>
      </c>
    </row>
    <row r="8" spans="1:5" ht="15" x14ac:dyDescent="0.25">
      <c r="A8" s="4">
        <v>7</v>
      </c>
      <c r="B8" s="5" t="s">
        <v>7</v>
      </c>
      <c r="C8" s="6">
        <v>4</v>
      </c>
      <c r="D8" s="13">
        <v>0.67</v>
      </c>
      <c r="E8" s="11">
        <f>D8/0.7*$C$14</f>
        <v>3.8285714285714301</v>
      </c>
    </row>
    <row r="9" spans="1:5" ht="15" x14ac:dyDescent="0.25">
      <c r="A9" s="4">
        <v>8</v>
      </c>
      <c r="B9" s="9" t="s">
        <v>8</v>
      </c>
      <c r="C9" s="14">
        <v>4</v>
      </c>
      <c r="D9" s="7">
        <v>0.92600000000000005</v>
      </c>
      <c r="E9" s="8">
        <v>3.88</v>
      </c>
    </row>
    <row r="10" spans="1:5" ht="15" x14ac:dyDescent="0.25">
      <c r="A10" s="4">
        <v>9</v>
      </c>
      <c r="B10" s="5" t="s">
        <v>9</v>
      </c>
      <c r="C10" s="14">
        <v>4</v>
      </c>
      <c r="D10" s="7">
        <v>0.93940000000000001</v>
      </c>
      <c r="E10" s="8">
        <v>3.82</v>
      </c>
    </row>
    <row r="11" spans="1:5" ht="15" x14ac:dyDescent="0.25">
      <c r="A11" s="4">
        <v>10</v>
      </c>
      <c r="B11" s="9" t="s">
        <v>10</v>
      </c>
      <c r="C11" s="14">
        <v>4</v>
      </c>
      <c r="D11" s="15">
        <v>0</v>
      </c>
      <c r="E11" s="16">
        <v>0</v>
      </c>
    </row>
    <row r="12" spans="1:5" ht="15" x14ac:dyDescent="0.25">
      <c r="A12" s="4">
        <v>11</v>
      </c>
      <c r="B12" s="9" t="s">
        <v>11</v>
      </c>
      <c r="C12" s="14">
        <v>4</v>
      </c>
      <c r="D12" s="7">
        <v>0.83330000000000004</v>
      </c>
      <c r="E12" s="8">
        <v>3.33</v>
      </c>
    </row>
    <row r="13" spans="1:5" ht="30" x14ac:dyDescent="0.25">
      <c r="A13" s="4">
        <v>12</v>
      </c>
      <c r="B13" s="9" t="s">
        <v>12</v>
      </c>
      <c r="C13" s="14">
        <v>4</v>
      </c>
      <c r="D13" s="7">
        <v>0.16669999999999999</v>
      </c>
      <c r="E13" s="8">
        <v>0.67</v>
      </c>
    </row>
    <row r="14" spans="1:5" ht="15" x14ac:dyDescent="0.25">
      <c r="A14" s="4">
        <v>13</v>
      </c>
      <c r="B14" s="9" t="s">
        <v>13</v>
      </c>
      <c r="C14" s="14">
        <v>4</v>
      </c>
      <c r="D14" s="17">
        <v>0</v>
      </c>
      <c r="E14" s="17">
        <v>0</v>
      </c>
    </row>
    <row r="15" spans="1:5" ht="30" x14ac:dyDescent="0.25">
      <c r="A15" s="4">
        <v>14</v>
      </c>
      <c r="B15" s="9" t="s">
        <v>14</v>
      </c>
      <c r="C15" s="14">
        <v>5</v>
      </c>
      <c r="D15" s="8">
        <v>1.17</v>
      </c>
      <c r="E15" s="8">
        <v>2.92</v>
      </c>
    </row>
    <row r="16" spans="1:5" ht="30" x14ac:dyDescent="0.25">
      <c r="A16" s="4">
        <v>15</v>
      </c>
      <c r="B16" s="9" t="s">
        <v>15</v>
      </c>
      <c r="C16" s="14">
        <v>4</v>
      </c>
      <c r="D16" s="17">
        <v>13.5</v>
      </c>
      <c r="E16" s="8">
        <v>1.29</v>
      </c>
    </row>
    <row r="17" spans="1:5" ht="15" x14ac:dyDescent="0.25">
      <c r="A17" s="56" t="s">
        <v>19</v>
      </c>
      <c r="B17" s="56"/>
      <c r="C17" s="10">
        <v>60</v>
      </c>
      <c r="D17" s="18" t="s">
        <v>20</v>
      </c>
      <c r="E17" s="19">
        <f>SUM(E2:E16)</f>
        <v>38.478571428571399</v>
      </c>
    </row>
  </sheetData>
  <mergeCells count="1">
    <mergeCell ref="A17:B17"/>
  </mergeCells>
  <phoneticPr fontId="10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"/>
  <sheetViews>
    <sheetView zoomScale="130" zoomScaleNormal="130" workbookViewId="0">
      <selection activeCell="B2" sqref="B2"/>
    </sheetView>
  </sheetViews>
  <sheetFormatPr defaultColWidth="9" defaultRowHeight="14" x14ac:dyDescent="0.25"/>
  <cols>
    <col min="5" max="5" width="12.6328125"/>
  </cols>
  <sheetData>
    <row r="1" spans="1:5" ht="30" x14ac:dyDescent="0.25">
      <c r="A1" s="1" t="s">
        <v>0</v>
      </c>
      <c r="B1" s="2" t="s">
        <v>1</v>
      </c>
      <c r="C1" s="3" t="s">
        <v>16</v>
      </c>
      <c r="D1" s="3" t="s">
        <v>17</v>
      </c>
      <c r="E1" s="3" t="s">
        <v>18</v>
      </c>
    </row>
    <row r="2" spans="1:5" ht="15" x14ac:dyDescent="0.25">
      <c r="A2" s="4">
        <v>1</v>
      </c>
      <c r="B2" s="52" t="s">
        <v>21</v>
      </c>
      <c r="C2" s="6">
        <v>5</v>
      </c>
      <c r="D2" s="7">
        <v>1.0339</v>
      </c>
      <c r="E2" s="8">
        <v>5</v>
      </c>
    </row>
    <row r="3" spans="1:5" ht="15" x14ac:dyDescent="0.25">
      <c r="A3" s="4">
        <v>2</v>
      </c>
      <c r="B3" s="9" t="s">
        <v>2</v>
      </c>
      <c r="C3" s="6">
        <v>3</v>
      </c>
      <c r="D3" s="10">
        <v>16</v>
      </c>
      <c r="E3" s="11">
        <f>D3/18*$C$3</f>
        <v>2.6666666666666701</v>
      </c>
    </row>
    <row r="4" spans="1:5" ht="30" x14ac:dyDescent="0.25">
      <c r="A4" s="4">
        <v>3</v>
      </c>
      <c r="B4" s="9" t="s">
        <v>3</v>
      </c>
      <c r="C4" s="6">
        <v>3</v>
      </c>
      <c r="D4" s="12">
        <v>0.75</v>
      </c>
      <c r="E4" s="10">
        <f>D4/1*$C$4</f>
        <v>2.25</v>
      </c>
    </row>
    <row r="5" spans="1:5" ht="45" x14ac:dyDescent="0.25">
      <c r="A5" s="4">
        <v>4</v>
      </c>
      <c r="B5" s="5" t="s">
        <v>4</v>
      </c>
      <c r="C5" s="6">
        <v>4</v>
      </c>
      <c r="D5" s="7">
        <v>0.98250000000000004</v>
      </c>
      <c r="E5" s="8">
        <v>2.95</v>
      </c>
    </row>
    <row r="6" spans="1:5" ht="15" x14ac:dyDescent="0.25">
      <c r="A6" s="4">
        <v>5</v>
      </c>
      <c r="B6" s="9" t="s">
        <v>5</v>
      </c>
      <c r="C6" s="6">
        <v>3</v>
      </c>
      <c r="D6" s="13">
        <v>0.89</v>
      </c>
      <c r="E6" s="10">
        <f>D6/1*$C$6</f>
        <v>2.67</v>
      </c>
    </row>
    <row r="7" spans="1:5" ht="45" x14ac:dyDescent="0.25">
      <c r="A7" s="4">
        <v>6</v>
      </c>
      <c r="B7" s="5" t="s">
        <v>6</v>
      </c>
      <c r="C7" s="6">
        <v>5</v>
      </c>
      <c r="D7" s="7">
        <v>0.94730000000000003</v>
      </c>
      <c r="E7" s="8">
        <v>4.74</v>
      </c>
    </row>
    <row r="8" spans="1:5" ht="30" x14ac:dyDescent="0.25">
      <c r="A8" s="4">
        <v>7</v>
      </c>
      <c r="B8" s="5" t="s">
        <v>7</v>
      </c>
      <c r="C8" s="6">
        <v>4</v>
      </c>
      <c r="D8" s="13">
        <v>0.7</v>
      </c>
      <c r="E8" s="10">
        <f>D8/0.7*$C$8</f>
        <v>4</v>
      </c>
    </row>
    <row r="9" spans="1:5" ht="30" x14ac:dyDescent="0.25">
      <c r="A9" s="4">
        <v>8</v>
      </c>
      <c r="B9" s="9" t="s">
        <v>8</v>
      </c>
      <c r="C9" s="14">
        <v>4</v>
      </c>
      <c r="D9" s="7">
        <v>0.86299999999999999</v>
      </c>
      <c r="E9" s="8">
        <v>3.61</v>
      </c>
    </row>
    <row r="10" spans="1:5" ht="30" x14ac:dyDescent="0.25">
      <c r="A10" s="4">
        <v>9</v>
      </c>
      <c r="B10" s="5" t="s">
        <v>9</v>
      </c>
      <c r="C10" s="14">
        <v>4</v>
      </c>
      <c r="D10" s="7">
        <v>0.92889999999999995</v>
      </c>
      <c r="E10" s="8">
        <v>3.77</v>
      </c>
    </row>
    <row r="11" spans="1:5" ht="45" x14ac:dyDescent="0.25">
      <c r="A11" s="4">
        <v>10</v>
      </c>
      <c r="B11" s="9" t="s">
        <v>10</v>
      </c>
      <c r="C11" s="14">
        <v>4</v>
      </c>
      <c r="D11" s="15">
        <v>0</v>
      </c>
      <c r="E11" s="16">
        <v>0</v>
      </c>
    </row>
    <row r="12" spans="1:5" ht="45" x14ac:dyDescent="0.25">
      <c r="A12" s="4">
        <v>11</v>
      </c>
      <c r="B12" s="9" t="s">
        <v>11</v>
      </c>
      <c r="C12" s="14">
        <v>4</v>
      </c>
      <c r="D12" s="15">
        <v>0.5</v>
      </c>
      <c r="E12" s="8">
        <v>2</v>
      </c>
    </row>
    <row r="13" spans="1:5" ht="60" x14ac:dyDescent="0.25">
      <c r="A13" s="4">
        <v>12</v>
      </c>
      <c r="B13" s="9" t="s">
        <v>12</v>
      </c>
      <c r="C13" s="14">
        <v>4</v>
      </c>
      <c r="D13" s="7">
        <v>0.375</v>
      </c>
      <c r="E13" s="8">
        <v>1.5</v>
      </c>
    </row>
    <row r="14" spans="1:5" ht="45" x14ac:dyDescent="0.25">
      <c r="A14" s="4">
        <v>13</v>
      </c>
      <c r="B14" s="9" t="s">
        <v>13</v>
      </c>
      <c r="C14" s="14">
        <v>4</v>
      </c>
      <c r="D14" s="17">
        <v>0</v>
      </c>
      <c r="E14" s="17">
        <v>0</v>
      </c>
    </row>
    <row r="15" spans="1:5" ht="75" x14ac:dyDescent="0.25">
      <c r="A15" s="4">
        <v>14</v>
      </c>
      <c r="B15" s="9" t="s">
        <v>14</v>
      </c>
      <c r="C15" s="14">
        <v>5</v>
      </c>
      <c r="D15" s="17">
        <v>0.25</v>
      </c>
      <c r="E15" s="8">
        <v>0.63</v>
      </c>
    </row>
    <row r="16" spans="1:5" ht="75" x14ac:dyDescent="0.25">
      <c r="A16" s="4">
        <v>15</v>
      </c>
      <c r="B16" s="9" t="s">
        <v>15</v>
      </c>
      <c r="C16" s="14">
        <v>4</v>
      </c>
      <c r="D16" s="17">
        <v>11.25</v>
      </c>
      <c r="E16" s="8">
        <v>1.07</v>
      </c>
    </row>
    <row r="17" spans="1:5" ht="15" x14ac:dyDescent="0.25">
      <c r="A17" s="56" t="s">
        <v>19</v>
      </c>
      <c r="B17" s="56"/>
      <c r="C17" s="10">
        <v>60</v>
      </c>
      <c r="D17" s="18" t="s">
        <v>20</v>
      </c>
      <c r="E17" s="19">
        <f>SUM(E2:E16)</f>
        <v>36.856666666666698</v>
      </c>
    </row>
  </sheetData>
  <mergeCells count="1">
    <mergeCell ref="A17:B17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飞行器制造技术（飞机制造技术方向</vt:lpstr>
      <vt:lpstr>机电一体化技术</vt:lpstr>
      <vt:lpstr>汽车运用与维修技术</vt:lpstr>
      <vt:lpstr>软件技术</vt:lpstr>
      <vt:lpstr>计算机网络技术（含中高职贯通）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XuanYun Qin</cp:lastModifiedBy>
  <dcterms:created xsi:type="dcterms:W3CDTF">2026-04-05T02:55:00Z</dcterms:created>
  <dcterms:modified xsi:type="dcterms:W3CDTF">2026-04-11T22:32:15Z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8CB86B18BC524CC093ED2B164704604C_13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